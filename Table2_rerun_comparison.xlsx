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shed" sheetId="1" state="visible" r:id="rId3"/>
    <sheet name="Rerun_2026-09-30" sheetId="2" state="visible" r:id="rId4"/>
    <sheet name="Comparison" sheetId="3" state="visible" r:id="rId5"/>
    <sheet name="Average_ranking" sheetId="4" state="visible" r:id="rId6"/>
    <sheet name="VS_RF_runs" sheetId="5" state="visible" r:id="rId7"/>
    <sheet name="HM1_repeat_che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<sst xmlns="http://schemas.openxmlformats.org/spreadsheetml/2006/main" count="131" uniqueCount="53">
  <si>
    <t xml:space="preserve">Source: Table 2, Molecules 2023, 28, 50 (published version). Average column as printed.</t>
  </si>
  <si>
    <t xml:space="preserve">Peptide</t>
  </si>
  <si>
    <t xml:space="preserve">VS SVM</t>
  </si>
  <si>
    <t xml:space="preserve">VS RF</t>
  </si>
  <si>
    <t xml:space="preserve">HM1 SVM</t>
  </si>
  <si>
    <t xml:space="preserve">HM1 RF</t>
  </si>
  <si>
    <t xml:space="preserve">HM1 IBk</t>
  </si>
  <si>
    <t xml:space="preserve">HM1 K*</t>
  </si>
  <si>
    <t xml:space="preserve">HM2 SVM</t>
  </si>
  <si>
    <t xml:space="preserve">HM2 RF</t>
  </si>
  <si>
    <t xml:space="preserve">HM2 IBk</t>
  </si>
  <si>
    <t xml:space="preserve">HM2 K*</t>
  </si>
  <si>
    <t xml:space="preserve">Average IC50 (µM)</t>
  </si>
  <si>
    <t xml:space="preserve">Check: mean of 10 cols</t>
  </si>
  <si>
    <t xml:space="preserve">csAVP1</t>
  </si>
  <si>
    <t xml:space="preserve">csAVP2</t>
  </si>
  <si>
    <t xml:space="preserve">csAVP3</t>
  </si>
  <si>
    <t xml:space="preserve">csAVP4</t>
  </si>
  <si>
    <t xml:space="preserve">csAVP5</t>
  </si>
  <si>
    <t xml:space="preserve">csAVP6</t>
  </si>
  <si>
    <t xml:space="preserve">csAVP7</t>
  </si>
  <si>
    <t xml:space="preserve">csAVP8</t>
  </si>
  <si>
    <t xml:space="preserve">csAVP9</t>
  </si>
  <si>
    <t xml:space="preserve">csAVP10</t>
  </si>
  <si>
    <t xml:space="preserve">VS = virus-specific (RSV/INFV/HSV); HM1/HM2 = Hybrid Model I/II. Blue = values entered from source; black = formulas.</t>
  </si>
  <si>
    <t xml:space="preserve">Source: AVP-IC50Pred re-run 30 Sep 2026 — VS job 2009388907 (screenshot); HM1 jobs 2118875579 (screenshot) and 1243325905 (1243325905.xls, identical); HM2 job 829598489 (829598489.xls).</t>
  </si>
  <si>
    <t xml:space="preserve">Difference = Re-run (30 Sep 2026) − Published. Red fill: |difference| &gt; 0.05 µM.</t>
  </si>
  <si>
    <t xml:space="preserve">Rows/columns matching exactly</t>
  </si>
  <si>
    <t xml:space="preserve">Cells differing by &gt; 0.05</t>
  </si>
  <si>
    <t xml:space="preserve">Of 100 values in Table 2</t>
  </si>
  <si>
    <t xml:space="preserve">Published avg</t>
  </si>
  <si>
    <t xml:space="preserve">Rank (published)</t>
  </si>
  <si>
    <t xml:space="preserve">Re-run avg</t>
  </si>
  <si>
    <t xml:space="preserve">Rank (re-run)</t>
  </si>
  <si>
    <t xml:space="preserve">Rank 1 = lowest average IC50 (highest predicted efficacy).</t>
  </si>
  <si>
    <t xml:space="preserve">Published (2022)</t>
  </si>
  <si>
    <t xml:space="preserve">Re-run Apr 2026</t>
  </si>
  <si>
    <t xml:space="preserve">Re-run 30 Sep 2026</t>
  </si>
  <si>
    <t xml:space="preserve">Sep − Apr</t>
  </si>
  <si>
    <t xml:space="preserve">Re-run 30 Sep 2026 #2 (job 1806815164)</t>
  </si>
  <si>
    <t xml:space="preserve">#2 − #1</t>
  </si>
  <si>
    <t xml:space="preserve">Apr 2026 values: from the 4 May 2026 email to the Editorial Office (user-provided).</t>
  </si>
  <si>
    <t xml:space="preserve">Virus-specific results page has no Download button; 30 Sep values transcribed from screenshots of jobs 2009388907 and 1806815164 (SVM also identical in both runs).</t>
  </si>
  <si>
    <t xml:space="preserve">Hybrid Model I run twice on 30 Sep 2026 with the same FASTA. Difference = run 2 − run 1.</t>
  </si>
  <si>
    <t xml:space="preserve">Run 2 SVM</t>
  </si>
  <si>
    <t xml:space="preserve">Run 2 RF</t>
  </si>
  <si>
    <t xml:space="preserve">Run 2 IBk</t>
  </si>
  <si>
    <t xml:space="preserve">Run 2 K*</t>
  </si>
  <si>
    <t xml:space="preserve">Δ SVM</t>
  </si>
  <si>
    <t xml:space="preserve">Δ RF</t>
  </si>
  <si>
    <t xml:space="preserve">Δ IBk</t>
  </si>
  <si>
    <t xml:space="preserve">Δ K*</t>
  </si>
  <si>
    <t xml:space="preserve">Values differing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</si>
</sst>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+0.00;\-0.00;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0"/>
    <col collapsed="false" customWidth="true" hidden="false" outlineLevel="0" max="13" min="12" style="1" width="12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0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5" t="s">
        <v>13</v>
      </c>
    </row>
    <row r="4" customFormat="false" ht="15" hidden="false" customHeight="true" outlineLevel="0" collapsed="false">
      <c r="A4" s="6" t="s">
        <v>14</v>
      </c>
      <c r="B4" s="7" t="n">
        <v>46.19</v>
      </c>
      <c r="C4" s="7" t="n">
        <v>0.01</v>
      </c>
      <c r="D4" s="7" t="n">
        <v>104.96</v>
      </c>
      <c r="E4" s="7" t="n">
        <v>29.05</v>
      </c>
      <c r="F4" s="7" t="n">
        <v>42.8</v>
      </c>
      <c r="G4" s="7" t="n">
        <v>0.22</v>
      </c>
      <c r="H4" s="7" t="n">
        <v>104.76</v>
      </c>
      <c r="I4" s="7" t="n">
        <v>29.56</v>
      </c>
      <c r="J4" s="7" t="n">
        <v>0.22</v>
      </c>
      <c r="K4" s="7" t="n">
        <v>0.01</v>
      </c>
      <c r="L4" s="8" t="n">
        <v>35.78</v>
      </c>
      <c r="M4" s="9" t="n">
        <f aca="false">ROUND(AVERAGE(B4:K4),2)</f>
        <v>35.78</v>
      </c>
    </row>
    <row r="5" customFormat="false" ht="15" hidden="false" customHeight="true" outlineLevel="0" collapsed="false">
      <c r="A5" s="6" t="s">
        <v>15</v>
      </c>
      <c r="B5" s="7" t="n">
        <v>45.82</v>
      </c>
      <c r="C5" s="7" t="n">
        <v>0.01</v>
      </c>
      <c r="D5" s="7" t="n">
        <v>78.69</v>
      </c>
      <c r="E5" s="7" t="n">
        <v>108.68</v>
      </c>
      <c r="F5" s="7" t="n">
        <v>152.62</v>
      </c>
      <c r="G5" s="7" t="n">
        <v>11.41</v>
      </c>
      <c r="H5" s="7" t="n">
        <v>78.6</v>
      </c>
      <c r="I5" s="7" t="n">
        <v>109.07</v>
      </c>
      <c r="J5" s="7" t="n">
        <v>11.41</v>
      </c>
      <c r="K5" s="7" t="n">
        <v>0.01</v>
      </c>
      <c r="L5" s="8" t="n">
        <v>59.63</v>
      </c>
      <c r="M5" s="9" t="n">
        <f aca="false">ROUND(AVERAGE(B5:K5),2)</f>
        <v>59.63</v>
      </c>
    </row>
    <row r="6" customFormat="false" ht="15" hidden="false" customHeight="true" outlineLevel="0" collapsed="false">
      <c r="A6" s="6" t="s">
        <v>16</v>
      </c>
      <c r="B6" s="7" t="n">
        <v>45.9</v>
      </c>
      <c r="C6" s="7" t="n">
        <v>0.01</v>
      </c>
      <c r="D6" s="7" t="n">
        <v>32.67</v>
      </c>
      <c r="E6" s="7" t="n">
        <v>38.96</v>
      </c>
      <c r="F6" s="7" t="n">
        <v>57.24</v>
      </c>
      <c r="G6" s="7" t="n">
        <v>17.01</v>
      </c>
      <c r="H6" s="7" t="n">
        <v>32.76</v>
      </c>
      <c r="I6" s="7" t="n">
        <v>39.57</v>
      </c>
      <c r="J6" s="7" t="n">
        <v>17.01</v>
      </c>
      <c r="K6" s="7" t="n">
        <v>0.01</v>
      </c>
      <c r="L6" s="8" t="n">
        <v>28.11</v>
      </c>
      <c r="M6" s="9" t="n">
        <f aca="false">ROUND(AVERAGE(B6:K6),2)</f>
        <v>28.11</v>
      </c>
    </row>
    <row r="7" customFormat="false" ht="15" hidden="false" customHeight="true" outlineLevel="0" collapsed="false">
      <c r="A7" s="6" t="s">
        <v>17</v>
      </c>
      <c r="B7" s="7" t="n">
        <v>45.92</v>
      </c>
      <c r="C7" s="7" t="n">
        <v>0.01</v>
      </c>
      <c r="D7" s="7" t="n">
        <v>40.75</v>
      </c>
      <c r="E7" s="7" t="n">
        <v>19.24</v>
      </c>
      <c r="F7" s="7" t="n">
        <v>19.85</v>
      </c>
      <c r="G7" s="7" t="n">
        <v>8.01</v>
      </c>
      <c r="H7" s="7" t="n">
        <v>40.75</v>
      </c>
      <c r="I7" s="7" t="n">
        <v>19.62</v>
      </c>
      <c r="J7" s="7" t="n">
        <v>8.01</v>
      </c>
      <c r="K7" s="7" t="n">
        <v>0.01</v>
      </c>
      <c r="L7" s="8" t="n">
        <v>20.22</v>
      </c>
      <c r="M7" s="9" t="n">
        <f aca="false">ROUND(AVERAGE(B7:K7),2)</f>
        <v>20.22</v>
      </c>
    </row>
    <row r="8" customFormat="false" ht="15" hidden="false" customHeight="true" outlineLevel="0" collapsed="false">
      <c r="A8" s="6" t="s">
        <v>18</v>
      </c>
      <c r="B8" s="7" t="n">
        <v>48.16</v>
      </c>
      <c r="C8" s="7" t="n">
        <v>0.01</v>
      </c>
      <c r="D8" s="7" t="n">
        <v>49.29</v>
      </c>
      <c r="E8" s="7" t="n">
        <v>17.59</v>
      </c>
      <c r="F8" s="7" t="n">
        <v>31.74</v>
      </c>
      <c r="G8" s="7" t="n">
        <v>11.01</v>
      </c>
      <c r="H8" s="7" t="n">
        <v>49.21</v>
      </c>
      <c r="I8" s="7" t="n">
        <v>17.82</v>
      </c>
      <c r="J8" s="7" t="n">
        <v>11.01</v>
      </c>
      <c r="K8" s="7" t="n">
        <v>0.01</v>
      </c>
      <c r="L8" s="8" t="n">
        <v>23.59</v>
      </c>
      <c r="M8" s="9" t="n">
        <f aca="false">ROUND(AVERAGE(B8:K8),2)</f>
        <v>23.59</v>
      </c>
    </row>
    <row r="9" customFormat="false" ht="15" hidden="false" customHeight="true" outlineLevel="0" collapsed="false">
      <c r="A9" s="6" t="s">
        <v>19</v>
      </c>
      <c r="B9" s="7" t="n">
        <v>45.92</v>
      </c>
      <c r="C9" s="7" t="n">
        <v>0.01</v>
      </c>
      <c r="D9" s="7" t="n">
        <v>39.4</v>
      </c>
      <c r="E9" s="7" t="n">
        <v>58.99</v>
      </c>
      <c r="F9" s="7" t="n">
        <v>34.91</v>
      </c>
      <c r="G9" s="7" t="n">
        <v>0.01</v>
      </c>
      <c r="H9" s="7" t="n">
        <v>39.42</v>
      </c>
      <c r="I9" s="7" t="n">
        <v>57.25</v>
      </c>
      <c r="J9" s="7" t="n">
        <v>0.01</v>
      </c>
      <c r="K9" s="7" t="n">
        <v>0.01</v>
      </c>
      <c r="L9" s="8" t="n">
        <v>27.59</v>
      </c>
      <c r="M9" s="9" t="n">
        <f aca="false">ROUND(AVERAGE(B9:K9),2)</f>
        <v>27.59</v>
      </c>
    </row>
    <row r="10" customFormat="false" ht="15" hidden="false" customHeight="true" outlineLevel="0" collapsed="false">
      <c r="A10" s="6" t="s">
        <v>20</v>
      </c>
      <c r="B10" s="7" t="n">
        <v>45.63</v>
      </c>
      <c r="C10" s="7" t="n">
        <v>0.01</v>
      </c>
      <c r="D10" s="7" t="n">
        <v>51.16</v>
      </c>
      <c r="E10" s="7" t="n">
        <v>48.57</v>
      </c>
      <c r="F10" s="7" t="n">
        <v>19.85</v>
      </c>
      <c r="G10" s="7" t="n">
        <v>313.01</v>
      </c>
      <c r="H10" s="7" t="n">
        <v>51.15</v>
      </c>
      <c r="I10" s="7" t="n">
        <v>48.32</v>
      </c>
      <c r="J10" s="7" t="n">
        <v>70.01</v>
      </c>
      <c r="K10" s="7" t="n">
        <v>0.01</v>
      </c>
      <c r="L10" s="8" t="n">
        <v>64.77</v>
      </c>
      <c r="M10" s="9" t="n">
        <f aca="false">ROUND(AVERAGE(B10:K10),2)</f>
        <v>64.77</v>
      </c>
    </row>
    <row r="11" customFormat="false" ht="15" hidden="false" customHeight="true" outlineLevel="0" collapsed="false">
      <c r="A11" s="6" t="s">
        <v>21</v>
      </c>
      <c r="B11" s="7" t="n">
        <v>45.91</v>
      </c>
      <c r="C11" s="7" t="n">
        <v>0.01</v>
      </c>
      <c r="D11" s="7" t="n">
        <v>38.66</v>
      </c>
      <c r="E11" s="7" t="n">
        <v>12.84</v>
      </c>
      <c r="F11" s="7" t="n">
        <v>11.05</v>
      </c>
      <c r="G11" s="7" t="n">
        <v>1.01</v>
      </c>
      <c r="H11" s="7" t="n">
        <v>38.69</v>
      </c>
      <c r="I11" s="7" t="n">
        <v>13.04</v>
      </c>
      <c r="J11" s="7" t="n">
        <v>1.01</v>
      </c>
      <c r="K11" s="7" t="n">
        <v>0.01</v>
      </c>
      <c r="L11" s="8" t="n">
        <v>16.22</v>
      </c>
      <c r="M11" s="9" t="n">
        <f aca="false">ROUND(AVERAGE(B11:K11),2)</f>
        <v>16.22</v>
      </c>
    </row>
    <row r="12" customFormat="false" ht="15" hidden="false" customHeight="true" outlineLevel="0" collapsed="false">
      <c r="A12" s="6" t="s">
        <v>22</v>
      </c>
      <c r="B12" s="7" t="n">
        <v>45.74</v>
      </c>
      <c r="C12" s="7" t="n">
        <v>0.01</v>
      </c>
      <c r="D12" s="7" t="n">
        <v>46.33</v>
      </c>
      <c r="E12" s="7" t="n">
        <v>48.26</v>
      </c>
      <c r="F12" s="7" t="n">
        <v>34.78</v>
      </c>
      <c r="G12" s="7" t="n">
        <v>14.01</v>
      </c>
      <c r="H12" s="7" t="n">
        <v>46.25</v>
      </c>
      <c r="I12" s="7" t="n">
        <v>48.17</v>
      </c>
      <c r="J12" s="7" t="n">
        <v>14.01</v>
      </c>
      <c r="K12" s="7" t="n">
        <v>0.01</v>
      </c>
      <c r="L12" s="8" t="n">
        <v>29.76</v>
      </c>
      <c r="M12" s="9" t="n">
        <f aca="false">ROUND(AVERAGE(B12:K12),2)</f>
        <v>29.76</v>
      </c>
    </row>
    <row r="13" customFormat="false" ht="15" hidden="false" customHeight="true" outlineLevel="0" collapsed="false">
      <c r="A13" s="6" t="s">
        <v>23</v>
      </c>
      <c r="B13" s="7" t="n">
        <v>45.94</v>
      </c>
      <c r="C13" s="7" t="n">
        <v>0.01</v>
      </c>
      <c r="D13" s="7" t="n">
        <v>45.75</v>
      </c>
      <c r="E13" s="7" t="n">
        <v>17.61</v>
      </c>
      <c r="F13" s="7" t="n">
        <v>62.98</v>
      </c>
      <c r="G13" s="7" t="n">
        <v>9.01</v>
      </c>
      <c r="H13" s="7" t="n">
        <v>45.73</v>
      </c>
      <c r="I13" s="7" t="n">
        <v>17.63</v>
      </c>
      <c r="J13" s="7" t="n">
        <v>9.01</v>
      </c>
      <c r="K13" s="7" t="n">
        <v>0.01</v>
      </c>
      <c r="L13" s="8" t="n">
        <v>25.37</v>
      </c>
      <c r="M13" s="9" t="n">
        <f aca="false">ROUND(AVERAGE(B13:K13),2)</f>
        <v>25.37</v>
      </c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true" outlineLevel="0" collapsed="false">
      <c r="A15" s="10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0"/>
    <col collapsed="false" customWidth="true" hidden="false" outlineLevel="0" max="12" min="12" style="1" width="12"/>
  </cols>
  <sheetData>
    <row r="1" customFormat="false" ht="15" hidden="false" customHeight="true" outlineLevel="0" collapsed="false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customFormat="false" ht="15" hidden="false" customHeight="true" outlineLevel="0" collapsed="false">
      <c r="A4" s="6" t="s">
        <v>14</v>
      </c>
      <c r="B4" s="7" t="n">
        <v>46.17</v>
      </c>
      <c r="C4" s="7" t="n">
        <v>30.19</v>
      </c>
      <c r="D4" s="7" t="n">
        <v>99.44</v>
      </c>
      <c r="E4" s="7" t="n">
        <v>38</v>
      </c>
      <c r="F4" s="7" t="n">
        <v>125.46</v>
      </c>
      <c r="G4" s="7" t="n">
        <v>0.22</v>
      </c>
      <c r="H4" s="7" t="n">
        <v>99.26</v>
      </c>
      <c r="I4" s="7" t="n">
        <v>38.54</v>
      </c>
      <c r="J4" s="7" t="n">
        <v>0.01</v>
      </c>
      <c r="K4" s="7" t="n">
        <v>0.01</v>
      </c>
      <c r="L4" s="11" t="n">
        <f aca="false">ROUND(AVERAGE(B4:K4),2)</f>
        <v>47.73</v>
      </c>
    </row>
    <row r="5" customFormat="false" ht="15" hidden="false" customHeight="true" outlineLevel="0" collapsed="false">
      <c r="A5" s="6" t="s">
        <v>15</v>
      </c>
      <c r="B5" s="7" t="n">
        <v>45.82</v>
      </c>
      <c r="C5" s="7" t="n">
        <v>75.32</v>
      </c>
      <c r="D5" s="7" t="n">
        <v>78.69</v>
      </c>
      <c r="E5" s="7" t="n">
        <v>108.68</v>
      </c>
      <c r="F5" s="7" t="n">
        <v>152.62</v>
      </c>
      <c r="G5" s="7" t="n">
        <v>11.41</v>
      </c>
      <c r="H5" s="7" t="n">
        <v>78.6</v>
      </c>
      <c r="I5" s="7" t="n">
        <v>109.07</v>
      </c>
      <c r="J5" s="7" t="n">
        <v>0.01</v>
      </c>
      <c r="K5" s="7" t="n">
        <v>0.01</v>
      </c>
      <c r="L5" s="11" t="n">
        <f aca="false">ROUND(AVERAGE(B5:K5),2)</f>
        <v>66.02</v>
      </c>
    </row>
    <row r="6" customFormat="false" ht="15" hidden="false" customHeight="true" outlineLevel="0" collapsed="false">
      <c r="A6" s="6" t="s">
        <v>16</v>
      </c>
      <c r="B6" s="7" t="n">
        <v>45.9</v>
      </c>
      <c r="C6" s="7" t="n">
        <v>111.35</v>
      </c>
      <c r="D6" s="7" t="n">
        <v>32.97</v>
      </c>
      <c r="E6" s="7" t="n">
        <v>41.74</v>
      </c>
      <c r="F6" s="7" t="n">
        <v>58.84</v>
      </c>
      <c r="G6" s="7" t="n">
        <v>17.01</v>
      </c>
      <c r="H6" s="7" t="n">
        <v>33.05</v>
      </c>
      <c r="I6" s="7" t="n">
        <v>42.34</v>
      </c>
      <c r="J6" s="7" t="n">
        <v>0.01</v>
      </c>
      <c r="K6" s="7" t="n">
        <v>0.01</v>
      </c>
      <c r="L6" s="11" t="n">
        <f aca="false">ROUND(AVERAGE(B6:K6),2)</f>
        <v>38.32</v>
      </c>
    </row>
    <row r="7" customFormat="false" ht="15" hidden="false" customHeight="true" outlineLevel="0" collapsed="false">
      <c r="A7" s="6" t="s">
        <v>17</v>
      </c>
      <c r="B7" s="7" t="n">
        <v>45.92</v>
      </c>
      <c r="C7" s="7" t="n">
        <v>104.83</v>
      </c>
      <c r="D7" s="7" t="n">
        <v>40.75</v>
      </c>
      <c r="E7" s="7" t="n">
        <v>19.24</v>
      </c>
      <c r="F7" s="7" t="n">
        <v>19.85</v>
      </c>
      <c r="G7" s="7" t="n">
        <v>8.01</v>
      </c>
      <c r="H7" s="7" t="n">
        <v>40.74</v>
      </c>
      <c r="I7" s="7" t="n">
        <v>19.62</v>
      </c>
      <c r="J7" s="7" t="n">
        <v>0.01</v>
      </c>
      <c r="K7" s="7" t="n">
        <v>0.01</v>
      </c>
      <c r="L7" s="11" t="n">
        <f aca="false">ROUND(AVERAGE(B7:K7),2)</f>
        <v>29.9</v>
      </c>
    </row>
    <row r="8" customFormat="false" ht="15" hidden="false" customHeight="true" outlineLevel="0" collapsed="false">
      <c r="A8" s="6" t="s">
        <v>18</v>
      </c>
      <c r="B8" s="7" t="n">
        <v>48</v>
      </c>
      <c r="C8" s="7" t="n">
        <v>14.62</v>
      </c>
      <c r="D8" s="7" t="n">
        <v>49.27</v>
      </c>
      <c r="E8" s="7" t="n">
        <v>19.61</v>
      </c>
      <c r="F8" s="7" t="n">
        <v>33.46</v>
      </c>
      <c r="G8" s="7" t="n">
        <v>11.01</v>
      </c>
      <c r="H8" s="7" t="n">
        <v>49.19</v>
      </c>
      <c r="I8" s="7" t="n">
        <v>19.84</v>
      </c>
      <c r="J8" s="7" t="n">
        <v>0.01</v>
      </c>
      <c r="K8" s="7" t="n">
        <v>0.01</v>
      </c>
      <c r="L8" s="11" t="n">
        <f aca="false">ROUND(AVERAGE(B8:K8),2)</f>
        <v>24.5</v>
      </c>
    </row>
    <row r="9" customFormat="false" ht="15" hidden="false" customHeight="true" outlineLevel="0" collapsed="false">
      <c r="A9" s="6" t="s">
        <v>19</v>
      </c>
      <c r="B9" s="7" t="n">
        <v>45.92</v>
      </c>
      <c r="C9" s="7" t="n">
        <v>247.86</v>
      </c>
      <c r="D9" s="7" t="n">
        <v>39.43</v>
      </c>
      <c r="E9" s="7" t="n">
        <v>73.22</v>
      </c>
      <c r="F9" s="7" t="n">
        <v>35.16</v>
      </c>
      <c r="G9" s="7" t="n">
        <v>0.01</v>
      </c>
      <c r="H9" s="7" t="n">
        <v>39.45</v>
      </c>
      <c r="I9" s="7" t="n">
        <v>71.64</v>
      </c>
      <c r="J9" s="7" t="n">
        <v>0.01</v>
      </c>
      <c r="K9" s="7" t="n">
        <v>0.01</v>
      </c>
      <c r="L9" s="11" t="n">
        <f aca="false">ROUND(AVERAGE(B9:K9),2)</f>
        <v>55.27</v>
      </c>
    </row>
    <row r="10" customFormat="false" ht="15" hidden="false" customHeight="true" outlineLevel="0" collapsed="false">
      <c r="A10" s="6" t="s">
        <v>20</v>
      </c>
      <c r="B10" s="7" t="n">
        <v>45.79</v>
      </c>
      <c r="C10" s="7" t="n">
        <v>126.57</v>
      </c>
      <c r="D10" s="7" t="n">
        <v>46.57</v>
      </c>
      <c r="E10" s="7" t="n">
        <v>49.41</v>
      </c>
      <c r="F10" s="7" t="n">
        <v>19.85</v>
      </c>
      <c r="G10" s="7" t="n">
        <v>313.01</v>
      </c>
      <c r="H10" s="7" t="n">
        <v>46.56</v>
      </c>
      <c r="I10" s="7" t="n">
        <v>49.17</v>
      </c>
      <c r="J10" s="7" t="n">
        <v>0.01</v>
      </c>
      <c r="K10" s="7" t="n">
        <v>0.01</v>
      </c>
      <c r="L10" s="11" t="n">
        <f aca="false">ROUND(AVERAGE(B10:K10),2)</f>
        <v>69.7</v>
      </c>
    </row>
    <row r="11" customFormat="false" ht="15" hidden="false" customHeight="true" outlineLevel="0" collapsed="false">
      <c r="A11" s="6" t="s">
        <v>21</v>
      </c>
      <c r="B11" s="7" t="n">
        <v>45.91</v>
      </c>
      <c r="C11" s="7" t="n">
        <v>171.33</v>
      </c>
      <c r="D11" s="7" t="n">
        <v>38.71</v>
      </c>
      <c r="E11" s="7" t="n">
        <v>13.64</v>
      </c>
      <c r="F11" s="7" t="n">
        <v>11.8</v>
      </c>
      <c r="G11" s="7" t="n">
        <v>1.01</v>
      </c>
      <c r="H11" s="7" t="n">
        <v>38.74</v>
      </c>
      <c r="I11" s="7" t="n">
        <v>13.84</v>
      </c>
      <c r="J11" s="7" t="n">
        <v>0.01</v>
      </c>
      <c r="K11" s="7" t="n">
        <v>0.01</v>
      </c>
      <c r="L11" s="11" t="n">
        <f aca="false">ROUND(AVERAGE(B11:K11),2)</f>
        <v>33.5</v>
      </c>
    </row>
    <row r="12" customFormat="false" ht="15" hidden="false" customHeight="true" outlineLevel="0" collapsed="false">
      <c r="A12" s="6" t="s">
        <v>22</v>
      </c>
      <c r="B12" s="7" t="n">
        <v>45.75</v>
      </c>
      <c r="C12" s="7" t="n">
        <v>366.97</v>
      </c>
      <c r="D12" s="7" t="n">
        <v>45.99</v>
      </c>
      <c r="E12" s="7" t="n">
        <v>56.5</v>
      </c>
      <c r="F12" s="7" t="n">
        <v>36.75</v>
      </c>
      <c r="G12" s="7" t="n">
        <v>14.01</v>
      </c>
      <c r="H12" s="7" t="n">
        <v>45.91</v>
      </c>
      <c r="I12" s="7" t="n">
        <v>56.5</v>
      </c>
      <c r="J12" s="7" t="n">
        <v>0.01</v>
      </c>
      <c r="K12" s="7" t="n">
        <v>0.01</v>
      </c>
      <c r="L12" s="11" t="n">
        <f aca="false">ROUND(AVERAGE(B12:K12),2)</f>
        <v>66.84</v>
      </c>
    </row>
    <row r="13" customFormat="false" ht="15" hidden="false" customHeight="true" outlineLevel="0" collapsed="false">
      <c r="A13" s="6" t="s">
        <v>23</v>
      </c>
      <c r="B13" s="7" t="n">
        <v>45.92</v>
      </c>
      <c r="C13" s="7" t="n">
        <v>185.64</v>
      </c>
      <c r="D13" s="7" t="n">
        <v>45.75</v>
      </c>
      <c r="E13" s="7" t="n">
        <v>17.61</v>
      </c>
      <c r="F13" s="7" t="n">
        <v>62.98</v>
      </c>
      <c r="G13" s="7" t="n">
        <v>9.01</v>
      </c>
      <c r="H13" s="7" t="n">
        <v>45.73</v>
      </c>
      <c r="I13" s="7" t="n">
        <v>17.63</v>
      </c>
      <c r="J13" s="7" t="n">
        <v>0.01</v>
      </c>
      <c r="K13" s="7" t="n">
        <v>0.01</v>
      </c>
      <c r="L13" s="11" t="n">
        <f aca="false">ROUND(AVERAGE(B13:K13),2)</f>
        <v>43.03</v>
      </c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10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2" min="2" style="1" width="10"/>
  </cols>
  <sheetData>
    <row r="1" customFormat="false" ht="15" hidden="false" customHeight="true" outlineLevel="0" collapsed="false">
      <c r="A1" s="2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customFormat="false" ht="15" hidden="false" customHeight="true" outlineLevel="0" collapsed="false">
      <c r="A4" s="6" t="s">
        <v>14</v>
      </c>
      <c r="B4" s="12" t="n">
        <f aca="false">'Rerun_2026-09-30'!B4-Published!B4</f>
        <v>-0.019999999999996</v>
      </c>
      <c r="C4" s="12" t="n">
        <f aca="false">'Rerun_2026-09-30'!C4-Published!C4</f>
        <v>30.18</v>
      </c>
      <c r="D4" s="12" t="n">
        <f aca="false">'Rerun_2026-09-30'!D4-Published!D4</f>
        <v>-5.52</v>
      </c>
      <c r="E4" s="12" t="n">
        <f aca="false">'Rerun_2026-09-30'!E4-Published!E4</f>
        <v>8.95</v>
      </c>
      <c r="F4" s="12" t="n">
        <f aca="false">'Rerun_2026-09-30'!F4-Published!F4</f>
        <v>82.66</v>
      </c>
      <c r="G4" s="12" t="n">
        <f aca="false">'Rerun_2026-09-30'!G4-Published!G4</f>
        <v>0</v>
      </c>
      <c r="H4" s="12" t="n">
        <f aca="false">'Rerun_2026-09-30'!H4-Published!H4</f>
        <v>-5.5</v>
      </c>
      <c r="I4" s="12" t="n">
        <f aca="false">'Rerun_2026-09-30'!I4-Published!I4</f>
        <v>8.98</v>
      </c>
      <c r="J4" s="12" t="n">
        <f aca="false">'Rerun_2026-09-30'!J4-Published!J4</f>
        <v>-0.21</v>
      </c>
      <c r="K4" s="12" t="n">
        <f aca="false">'Rerun_2026-09-30'!K4-Published!K4</f>
        <v>0</v>
      </c>
      <c r="L4" s="12" t="n">
        <f aca="false">'Rerun_2026-09-30'!L4-Published!L4</f>
        <v>11.95</v>
      </c>
    </row>
    <row r="5" customFormat="false" ht="15" hidden="false" customHeight="true" outlineLevel="0" collapsed="false">
      <c r="A5" s="6" t="s">
        <v>15</v>
      </c>
      <c r="B5" s="12" t="n">
        <f aca="false">'Rerun_2026-09-30'!B5-Published!B5</f>
        <v>0</v>
      </c>
      <c r="C5" s="12" t="n">
        <f aca="false">'Rerun_2026-09-30'!C5-Published!C5</f>
        <v>75.31</v>
      </c>
      <c r="D5" s="12" t="n">
        <f aca="false">'Rerun_2026-09-30'!D5-Published!D5</f>
        <v>0</v>
      </c>
      <c r="E5" s="12" t="n">
        <f aca="false">'Rerun_2026-09-30'!E5-Published!E5</f>
        <v>0</v>
      </c>
      <c r="F5" s="12" t="n">
        <f aca="false">'Rerun_2026-09-30'!F5-Published!F5</f>
        <v>0</v>
      </c>
      <c r="G5" s="12" t="n">
        <f aca="false">'Rerun_2026-09-30'!G5-Published!G5</f>
        <v>0</v>
      </c>
      <c r="H5" s="12" t="n">
        <f aca="false">'Rerun_2026-09-30'!H5-Published!H5</f>
        <v>0</v>
      </c>
      <c r="I5" s="12" t="n">
        <f aca="false">'Rerun_2026-09-30'!I5-Published!I5</f>
        <v>0</v>
      </c>
      <c r="J5" s="12" t="n">
        <f aca="false">'Rerun_2026-09-30'!J5-Published!J5</f>
        <v>-11.4</v>
      </c>
      <c r="K5" s="12" t="n">
        <f aca="false">'Rerun_2026-09-30'!K5-Published!K5</f>
        <v>0</v>
      </c>
      <c r="L5" s="12" t="n">
        <f aca="false">'Rerun_2026-09-30'!L5-Published!L5</f>
        <v>6.38999999999999</v>
      </c>
    </row>
    <row r="6" customFormat="false" ht="15" hidden="false" customHeight="true" outlineLevel="0" collapsed="false">
      <c r="A6" s="6" t="s">
        <v>16</v>
      </c>
      <c r="B6" s="12" t="n">
        <f aca="false">'Rerun_2026-09-30'!B6-Published!B6</f>
        <v>0</v>
      </c>
      <c r="C6" s="12" t="n">
        <f aca="false">'Rerun_2026-09-30'!C6-Published!C6</f>
        <v>111.34</v>
      </c>
      <c r="D6" s="12" t="n">
        <f aca="false">'Rerun_2026-09-30'!D6-Published!D6</f>
        <v>0.299999999999997</v>
      </c>
      <c r="E6" s="12" t="n">
        <f aca="false">'Rerun_2026-09-30'!E6-Published!E6</f>
        <v>2.78</v>
      </c>
      <c r="F6" s="12" t="n">
        <f aca="false">'Rerun_2026-09-30'!F6-Published!F6</f>
        <v>1.6</v>
      </c>
      <c r="G6" s="12" t="n">
        <f aca="false">'Rerun_2026-09-30'!G6-Published!G6</f>
        <v>0</v>
      </c>
      <c r="H6" s="12" t="n">
        <f aca="false">'Rerun_2026-09-30'!H6-Published!H6</f>
        <v>0.289999999999999</v>
      </c>
      <c r="I6" s="12" t="n">
        <f aca="false">'Rerun_2026-09-30'!I6-Published!I6</f>
        <v>2.77</v>
      </c>
      <c r="J6" s="12" t="n">
        <f aca="false">'Rerun_2026-09-30'!J6-Published!J6</f>
        <v>-17</v>
      </c>
      <c r="K6" s="12" t="n">
        <f aca="false">'Rerun_2026-09-30'!K6-Published!K6</f>
        <v>0</v>
      </c>
      <c r="L6" s="12" t="n">
        <f aca="false">'Rerun_2026-09-30'!L6-Published!L6</f>
        <v>10.21</v>
      </c>
    </row>
    <row r="7" customFormat="false" ht="15" hidden="false" customHeight="true" outlineLevel="0" collapsed="false">
      <c r="A7" s="6" t="s">
        <v>17</v>
      </c>
      <c r="B7" s="12" t="n">
        <f aca="false">'Rerun_2026-09-30'!B7-Published!B7</f>
        <v>0</v>
      </c>
      <c r="C7" s="12" t="n">
        <f aca="false">'Rerun_2026-09-30'!C7-Published!C7</f>
        <v>104.82</v>
      </c>
      <c r="D7" s="12" t="n">
        <f aca="false">'Rerun_2026-09-30'!D7-Published!D7</f>
        <v>0</v>
      </c>
      <c r="E7" s="12" t="n">
        <f aca="false">'Rerun_2026-09-30'!E7-Published!E7</f>
        <v>0</v>
      </c>
      <c r="F7" s="12" t="n">
        <f aca="false">'Rerun_2026-09-30'!F7-Published!F7</f>
        <v>0</v>
      </c>
      <c r="G7" s="12" t="n">
        <f aca="false">'Rerun_2026-09-30'!G7-Published!G7</f>
        <v>0</v>
      </c>
      <c r="H7" s="12" t="n">
        <f aca="false">'Rerun_2026-09-30'!H7-Published!H7</f>
        <v>-0.00999999999999801</v>
      </c>
      <c r="I7" s="12" t="n">
        <f aca="false">'Rerun_2026-09-30'!I7-Published!I7</f>
        <v>0</v>
      </c>
      <c r="J7" s="12" t="n">
        <f aca="false">'Rerun_2026-09-30'!J7-Published!J7</f>
        <v>-8</v>
      </c>
      <c r="K7" s="12" t="n">
        <f aca="false">'Rerun_2026-09-30'!K7-Published!K7</f>
        <v>0</v>
      </c>
      <c r="L7" s="12" t="n">
        <f aca="false">'Rerun_2026-09-30'!L7-Published!L7</f>
        <v>9.68</v>
      </c>
    </row>
    <row r="8" customFormat="false" ht="15" hidden="false" customHeight="true" outlineLevel="0" collapsed="false">
      <c r="A8" s="6" t="s">
        <v>18</v>
      </c>
      <c r="B8" s="12" t="n">
        <f aca="false">'Rerun_2026-09-30'!B8-Published!B8</f>
        <v>-0.159999999999997</v>
      </c>
      <c r="C8" s="12" t="n">
        <f aca="false">'Rerun_2026-09-30'!C8-Published!C8</f>
        <v>14.61</v>
      </c>
      <c r="D8" s="12" t="n">
        <f aca="false">'Rerun_2026-09-30'!D8-Published!D8</f>
        <v>-0.019999999999996</v>
      </c>
      <c r="E8" s="12" t="n">
        <f aca="false">'Rerun_2026-09-30'!E8-Published!E8</f>
        <v>2.02</v>
      </c>
      <c r="F8" s="12" t="n">
        <f aca="false">'Rerun_2026-09-30'!F8-Published!F8</f>
        <v>1.72</v>
      </c>
      <c r="G8" s="12" t="n">
        <f aca="false">'Rerun_2026-09-30'!G8-Published!G8</f>
        <v>0</v>
      </c>
      <c r="H8" s="12" t="n">
        <f aca="false">'Rerun_2026-09-30'!H8-Published!H8</f>
        <v>-0.0200000000000031</v>
      </c>
      <c r="I8" s="12" t="n">
        <f aca="false">'Rerun_2026-09-30'!I8-Published!I8</f>
        <v>2.02</v>
      </c>
      <c r="J8" s="12" t="n">
        <f aca="false">'Rerun_2026-09-30'!J8-Published!J8</f>
        <v>-11</v>
      </c>
      <c r="K8" s="12" t="n">
        <f aca="false">'Rerun_2026-09-30'!K8-Published!K8</f>
        <v>0</v>
      </c>
      <c r="L8" s="12" t="n">
        <f aca="false">'Rerun_2026-09-30'!L8-Published!L8</f>
        <v>0.91</v>
      </c>
    </row>
    <row r="9" customFormat="false" ht="15" hidden="false" customHeight="true" outlineLevel="0" collapsed="false">
      <c r="A9" s="6" t="s">
        <v>19</v>
      </c>
      <c r="B9" s="12" t="n">
        <f aca="false">'Rerun_2026-09-30'!B9-Published!B9</f>
        <v>0</v>
      </c>
      <c r="C9" s="12" t="n">
        <f aca="false">'Rerun_2026-09-30'!C9-Published!C9</f>
        <v>247.85</v>
      </c>
      <c r="D9" s="12" t="n">
        <f aca="false">'Rerun_2026-09-30'!D9-Published!D9</f>
        <v>0.0300000000000011</v>
      </c>
      <c r="E9" s="12" t="n">
        <f aca="false">'Rerun_2026-09-30'!E9-Published!E9</f>
        <v>14.23</v>
      </c>
      <c r="F9" s="12" t="n">
        <f aca="false">'Rerun_2026-09-30'!F9-Published!F9</f>
        <v>0.25</v>
      </c>
      <c r="G9" s="12" t="n">
        <f aca="false">'Rerun_2026-09-30'!G9-Published!G9</f>
        <v>0</v>
      </c>
      <c r="H9" s="12" t="n">
        <f aca="false">'Rerun_2026-09-30'!H9-Published!H9</f>
        <v>0.0300000000000011</v>
      </c>
      <c r="I9" s="12" t="n">
        <f aca="false">'Rerun_2026-09-30'!I9-Published!I9</f>
        <v>14.39</v>
      </c>
      <c r="J9" s="12" t="n">
        <f aca="false">'Rerun_2026-09-30'!J9-Published!J9</f>
        <v>0</v>
      </c>
      <c r="K9" s="12" t="n">
        <f aca="false">'Rerun_2026-09-30'!K9-Published!K9</f>
        <v>0</v>
      </c>
      <c r="L9" s="12" t="n">
        <f aca="false">'Rerun_2026-09-30'!L9-Published!L9</f>
        <v>27.68</v>
      </c>
    </row>
    <row r="10" customFormat="false" ht="15" hidden="false" customHeight="true" outlineLevel="0" collapsed="false">
      <c r="A10" s="6" t="s">
        <v>20</v>
      </c>
      <c r="B10" s="12" t="n">
        <f aca="false">'Rerun_2026-09-30'!B10-Published!B10</f>
        <v>0.159999999999997</v>
      </c>
      <c r="C10" s="12" t="n">
        <f aca="false">'Rerun_2026-09-30'!C10-Published!C10</f>
        <v>126.56</v>
      </c>
      <c r="D10" s="12" t="n">
        <f aca="false">'Rerun_2026-09-30'!D10-Published!D10</f>
        <v>-4.59</v>
      </c>
      <c r="E10" s="12" t="n">
        <f aca="false">'Rerun_2026-09-30'!E10-Published!E10</f>
        <v>0.839999999999996</v>
      </c>
      <c r="F10" s="12" t="n">
        <f aca="false">'Rerun_2026-09-30'!F10-Published!F10</f>
        <v>0</v>
      </c>
      <c r="G10" s="12" t="n">
        <f aca="false">'Rerun_2026-09-30'!G10-Published!G10</f>
        <v>0</v>
      </c>
      <c r="H10" s="12" t="n">
        <f aca="false">'Rerun_2026-09-30'!H10-Published!H10</f>
        <v>-4.59</v>
      </c>
      <c r="I10" s="12" t="n">
        <f aca="false">'Rerun_2026-09-30'!I10-Published!I10</f>
        <v>0.850000000000001</v>
      </c>
      <c r="J10" s="12" t="n">
        <f aca="false">'Rerun_2026-09-30'!J10-Published!J10</f>
        <v>-70</v>
      </c>
      <c r="K10" s="12" t="n">
        <f aca="false">'Rerun_2026-09-30'!K10-Published!K10</f>
        <v>0</v>
      </c>
      <c r="L10" s="12" t="n">
        <f aca="false">'Rerun_2026-09-30'!L10-Published!L10</f>
        <v>4.93000000000001</v>
      </c>
    </row>
    <row r="11" customFormat="false" ht="15" hidden="false" customHeight="true" outlineLevel="0" collapsed="false">
      <c r="A11" s="6" t="s">
        <v>21</v>
      </c>
      <c r="B11" s="12" t="n">
        <f aca="false">'Rerun_2026-09-30'!B11-Published!B11</f>
        <v>0</v>
      </c>
      <c r="C11" s="12" t="n">
        <f aca="false">'Rerun_2026-09-30'!C11-Published!C11</f>
        <v>171.32</v>
      </c>
      <c r="D11" s="12" t="n">
        <f aca="false">'Rerun_2026-09-30'!D11-Published!D11</f>
        <v>0.0500000000000043</v>
      </c>
      <c r="E11" s="12" t="n">
        <f aca="false">'Rerun_2026-09-30'!E11-Published!E11</f>
        <v>0.800000000000001</v>
      </c>
      <c r="F11" s="12" t="n">
        <f aca="false">'Rerun_2026-09-30'!F11-Published!F11</f>
        <v>0.75</v>
      </c>
      <c r="G11" s="12" t="n">
        <f aca="false">'Rerun_2026-09-30'!G11-Published!G11</f>
        <v>0</v>
      </c>
      <c r="H11" s="12" t="n">
        <f aca="false">'Rerun_2026-09-30'!H11-Published!H11</f>
        <v>0.0500000000000043</v>
      </c>
      <c r="I11" s="12" t="n">
        <f aca="false">'Rerun_2026-09-30'!I11-Published!I11</f>
        <v>0.800000000000001</v>
      </c>
      <c r="J11" s="12" t="n">
        <f aca="false">'Rerun_2026-09-30'!J11-Published!J11</f>
        <v>-1</v>
      </c>
      <c r="K11" s="12" t="n">
        <f aca="false">'Rerun_2026-09-30'!K11-Published!K11</f>
        <v>0</v>
      </c>
      <c r="L11" s="12" t="n">
        <f aca="false">'Rerun_2026-09-30'!L11-Published!L11</f>
        <v>17.28</v>
      </c>
    </row>
    <row r="12" customFormat="false" ht="15" hidden="false" customHeight="true" outlineLevel="0" collapsed="false">
      <c r="A12" s="6" t="s">
        <v>22</v>
      </c>
      <c r="B12" s="12" t="n">
        <f aca="false">'Rerun_2026-09-30'!B12-Published!B12</f>
        <v>0.00999999999999801</v>
      </c>
      <c r="C12" s="12" t="n">
        <f aca="false">'Rerun_2026-09-30'!C12-Published!C12</f>
        <v>366.96</v>
      </c>
      <c r="D12" s="12" t="n">
        <f aca="false">'Rerun_2026-09-30'!D12-Published!D12</f>
        <v>-0.339999999999996</v>
      </c>
      <c r="E12" s="12" t="n">
        <f aca="false">'Rerun_2026-09-30'!E12-Published!E12</f>
        <v>8.24</v>
      </c>
      <c r="F12" s="12" t="n">
        <f aca="false">'Rerun_2026-09-30'!F12-Published!F12</f>
        <v>1.97</v>
      </c>
      <c r="G12" s="12" t="n">
        <f aca="false">'Rerun_2026-09-30'!G12-Published!G12</f>
        <v>0</v>
      </c>
      <c r="H12" s="12" t="n">
        <f aca="false">'Rerun_2026-09-30'!H12-Published!H12</f>
        <v>-0.340000000000003</v>
      </c>
      <c r="I12" s="12" t="n">
        <f aca="false">'Rerun_2026-09-30'!I12-Published!I12</f>
        <v>8.33</v>
      </c>
      <c r="J12" s="12" t="n">
        <f aca="false">'Rerun_2026-09-30'!J12-Published!J12</f>
        <v>-14</v>
      </c>
      <c r="K12" s="12" t="n">
        <f aca="false">'Rerun_2026-09-30'!K12-Published!K12</f>
        <v>0</v>
      </c>
      <c r="L12" s="12" t="n">
        <f aca="false">'Rerun_2026-09-30'!L12-Published!L12</f>
        <v>37.08</v>
      </c>
    </row>
    <row r="13" customFormat="false" ht="15" hidden="false" customHeight="true" outlineLevel="0" collapsed="false">
      <c r="A13" s="6" t="s">
        <v>23</v>
      </c>
      <c r="B13" s="12" t="n">
        <f aca="false">'Rerun_2026-09-30'!B13-Published!B13</f>
        <v>-0.019999999999996</v>
      </c>
      <c r="C13" s="12" t="n">
        <f aca="false">'Rerun_2026-09-30'!C13-Published!C13</f>
        <v>185.63</v>
      </c>
      <c r="D13" s="12" t="n">
        <f aca="false">'Rerun_2026-09-30'!D13-Published!D13</f>
        <v>0</v>
      </c>
      <c r="E13" s="12" t="n">
        <f aca="false">'Rerun_2026-09-30'!E13-Published!E13</f>
        <v>0</v>
      </c>
      <c r="F13" s="12" t="n">
        <f aca="false">'Rerun_2026-09-30'!F13-Published!F13</f>
        <v>0</v>
      </c>
      <c r="G13" s="12" t="n">
        <f aca="false">'Rerun_2026-09-30'!G13-Published!G13</f>
        <v>0</v>
      </c>
      <c r="H13" s="12" t="n">
        <f aca="false">'Rerun_2026-09-30'!H13-Published!H13</f>
        <v>0</v>
      </c>
      <c r="I13" s="12" t="n">
        <f aca="false">'Rerun_2026-09-30'!I13-Published!I13</f>
        <v>0</v>
      </c>
      <c r="J13" s="12" t="n">
        <f aca="false">'Rerun_2026-09-30'!J13-Published!J13</f>
        <v>-9</v>
      </c>
      <c r="K13" s="12" t="n">
        <f aca="false">'Rerun_2026-09-30'!K13-Published!K13</f>
        <v>0</v>
      </c>
      <c r="L13" s="12" t="n">
        <f aca="false">'Rerun_2026-09-30'!L13-Published!L13</f>
        <v>17.66</v>
      </c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13" t="s">
        <v>27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6" t="s">
        <v>28</v>
      </c>
      <c r="B16" s="3" t="n">
        <f aca="false">SUMPRODUCT((ABS(B4:K13)&gt;0.05)*1)</f>
        <v>51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true" outlineLevel="0" collapsed="false">
      <c r="A17" s="10" t="s">
        <v>29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</sheetData>
  <conditionalFormatting sqref="B4:L13">
    <cfRule type="expression" priority="2" aboveAverage="0" equalAverage="0" bottom="0" percent="0" rank="0" text="" dxfId="0">
      <formula>ABS(B4)&gt;0.05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</cols>
  <sheetData>
    <row r="1" customFormat="false" ht="15" hidden="false" customHeight="true" outlineLevel="0" collapsed="false">
      <c r="A1" s="14" t="s">
        <v>1</v>
      </c>
      <c r="B1" s="14" t="s">
        <v>30</v>
      </c>
      <c r="C1" s="14" t="s">
        <v>31</v>
      </c>
      <c r="D1" s="14" t="s">
        <v>32</v>
      </c>
      <c r="E1" s="14" t="s">
        <v>33</v>
      </c>
    </row>
    <row r="2" customFormat="false" ht="15" hidden="false" customHeight="true" outlineLevel="0" collapsed="false">
      <c r="A2" s="6" t="s">
        <v>14</v>
      </c>
      <c r="B2" s="15" t="n">
        <f aca="false">Published!L4</f>
        <v>35.78</v>
      </c>
      <c r="C2" s="3" t="n">
        <f aca="false">RANK(B2,$B$2:$B$11,1)</f>
        <v>8</v>
      </c>
      <c r="D2" s="15" t="n">
        <f aca="false">'Rerun_2026-09-30'!L4</f>
        <v>47.73</v>
      </c>
      <c r="E2" s="3" t="n">
        <f aca="false">RANK(D2,$D$2:$D$11,1)</f>
        <v>6</v>
      </c>
    </row>
    <row r="3" customFormat="false" ht="15" hidden="false" customHeight="true" outlineLevel="0" collapsed="false">
      <c r="A3" s="6" t="s">
        <v>15</v>
      </c>
      <c r="B3" s="15" t="n">
        <f aca="false">Published!L5</f>
        <v>59.63</v>
      </c>
      <c r="C3" s="3" t="n">
        <f aca="false">RANK(B3,$B$2:$B$11,1)</f>
        <v>9</v>
      </c>
      <c r="D3" s="15" t="n">
        <f aca="false">'Rerun_2026-09-30'!L5</f>
        <v>66.02</v>
      </c>
      <c r="E3" s="3" t="n">
        <f aca="false">RANK(D3,$D$2:$D$11,1)</f>
        <v>8</v>
      </c>
    </row>
    <row r="4" customFormat="false" ht="15" hidden="false" customHeight="true" outlineLevel="0" collapsed="false">
      <c r="A4" s="6" t="s">
        <v>16</v>
      </c>
      <c r="B4" s="15" t="n">
        <f aca="false">Published!L6</f>
        <v>28.11</v>
      </c>
      <c r="C4" s="3" t="n">
        <f aca="false">RANK(B4,$B$2:$B$11,1)</f>
        <v>6</v>
      </c>
      <c r="D4" s="15" t="n">
        <f aca="false">'Rerun_2026-09-30'!L6</f>
        <v>38.32</v>
      </c>
      <c r="E4" s="3" t="n">
        <f aca="false">RANK(D4,$D$2:$D$11,1)</f>
        <v>4</v>
      </c>
    </row>
    <row r="5" customFormat="false" ht="15" hidden="false" customHeight="true" outlineLevel="0" collapsed="false">
      <c r="A5" s="6" t="s">
        <v>17</v>
      </c>
      <c r="B5" s="15" t="n">
        <f aca="false">Published!L7</f>
        <v>20.22</v>
      </c>
      <c r="C5" s="3" t="n">
        <f aca="false">RANK(B5,$B$2:$B$11,1)</f>
        <v>2</v>
      </c>
      <c r="D5" s="15" t="n">
        <f aca="false">'Rerun_2026-09-30'!L7</f>
        <v>29.9</v>
      </c>
      <c r="E5" s="3" t="n">
        <f aca="false">RANK(D5,$D$2:$D$11,1)</f>
        <v>2</v>
      </c>
    </row>
    <row r="6" customFormat="false" ht="15" hidden="false" customHeight="true" outlineLevel="0" collapsed="false">
      <c r="A6" s="6" t="s">
        <v>18</v>
      </c>
      <c r="B6" s="15" t="n">
        <f aca="false">Published!L8</f>
        <v>23.59</v>
      </c>
      <c r="C6" s="3" t="n">
        <f aca="false">RANK(B6,$B$2:$B$11,1)</f>
        <v>3</v>
      </c>
      <c r="D6" s="15" t="n">
        <f aca="false">'Rerun_2026-09-30'!L8</f>
        <v>24.5</v>
      </c>
      <c r="E6" s="3" t="n">
        <f aca="false">RANK(D6,$D$2:$D$11,1)</f>
        <v>1</v>
      </c>
    </row>
    <row r="7" customFormat="false" ht="15" hidden="false" customHeight="true" outlineLevel="0" collapsed="false">
      <c r="A7" s="6" t="s">
        <v>19</v>
      </c>
      <c r="B7" s="15" t="n">
        <f aca="false">Published!L9</f>
        <v>27.59</v>
      </c>
      <c r="C7" s="3" t="n">
        <f aca="false">RANK(B7,$B$2:$B$11,1)</f>
        <v>5</v>
      </c>
      <c r="D7" s="15" t="n">
        <f aca="false">'Rerun_2026-09-30'!L9</f>
        <v>55.27</v>
      </c>
      <c r="E7" s="3" t="n">
        <f aca="false">RANK(D7,$D$2:$D$11,1)</f>
        <v>7</v>
      </c>
    </row>
    <row r="8" customFormat="false" ht="15" hidden="false" customHeight="true" outlineLevel="0" collapsed="false">
      <c r="A8" s="6" t="s">
        <v>20</v>
      </c>
      <c r="B8" s="15" t="n">
        <f aca="false">Published!L10</f>
        <v>64.77</v>
      </c>
      <c r="C8" s="3" t="n">
        <f aca="false">RANK(B8,$B$2:$B$11,1)</f>
        <v>10</v>
      </c>
      <c r="D8" s="15" t="n">
        <f aca="false">'Rerun_2026-09-30'!L10</f>
        <v>69.7</v>
      </c>
      <c r="E8" s="3" t="n">
        <f aca="false">RANK(D8,$D$2:$D$11,1)</f>
        <v>10</v>
      </c>
    </row>
    <row r="9" customFormat="false" ht="15" hidden="false" customHeight="true" outlineLevel="0" collapsed="false">
      <c r="A9" s="6" t="s">
        <v>21</v>
      </c>
      <c r="B9" s="15" t="n">
        <f aca="false">Published!L11</f>
        <v>16.22</v>
      </c>
      <c r="C9" s="3" t="n">
        <f aca="false">RANK(B9,$B$2:$B$11,1)</f>
        <v>1</v>
      </c>
      <c r="D9" s="15" t="n">
        <f aca="false">'Rerun_2026-09-30'!L11</f>
        <v>33.5</v>
      </c>
      <c r="E9" s="3" t="n">
        <f aca="false">RANK(D9,$D$2:$D$11,1)</f>
        <v>3</v>
      </c>
    </row>
    <row r="10" customFormat="false" ht="15" hidden="false" customHeight="true" outlineLevel="0" collapsed="false">
      <c r="A10" s="6" t="s">
        <v>22</v>
      </c>
      <c r="B10" s="15" t="n">
        <f aca="false">Published!L12</f>
        <v>29.76</v>
      </c>
      <c r="C10" s="3" t="n">
        <f aca="false">RANK(B10,$B$2:$B$11,1)</f>
        <v>7</v>
      </c>
      <c r="D10" s="15" t="n">
        <f aca="false">'Rerun_2026-09-30'!L12</f>
        <v>66.84</v>
      </c>
      <c r="E10" s="3" t="n">
        <f aca="false">RANK(D10,$D$2:$D$11,1)</f>
        <v>9</v>
      </c>
    </row>
    <row r="11" customFormat="false" ht="15" hidden="false" customHeight="true" outlineLevel="0" collapsed="false">
      <c r="A11" s="6" t="s">
        <v>23</v>
      </c>
      <c r="B11" s="15" t="n">
        <f aca="false">Published!L13</f>
        <v>25.37</v>
      </c>
      <c r="C11" s="3" t="n">
        <f aca="false">RANK(B11,$B$2:$B$11,1)</f>
        <v>4</v>
      </c>
      <c r="D11" s="15" t="n">
        <f aca="false">'Rerun_2026-09-30'!L13</f>
        <v>43.03</v>
      </c>
      <c r="E11" s="3" t="n">
        <f aca="false">RANK(D11,$D$2:$D$11,1)</f>
        <v>5</v>
      </c>
    </row>
    <row r="12" customFormat="false" ht="15" hidden="false" customHeight="true" outlineLevel="0" collapsed="false">
      <c r="A12" s="3"/>
      <c r="B12" s="3"/>
      <c r="C12" s="3"/>
      <c r="D12" s="3"/>
      <c r="E12" s="3"/>
    </row>
    <row r="13" customFormat="false" ht="15" hidden="false" customHeight="true" outlineLevel="0" collapsed="false">
      <c r="A13" s="10" t="s">
        <v>34</v>
      </c>
      <c r="B13" s="3"/>
      <c r="C13" s="3"/>
      <c r="D13" s="3"/>
      <c r="E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0" width="22"/>
    <col collapsed="false" customWidth="true" hidden="false" outlineLevel="0" max="7" min="7" style="0" width="10"/>
  </cols>
  <sheetData>
    <row r="1" customFormat="false" ht="15" hidden="false" customHeight="true" outlineLevel="0" collapsed="false">
      <c r="A1" s="14" t="s">
        <v>1</v>
      </c>
      <c r="B1" s="14" t="s">
        <v>35</v>
      </c>
      <c r="C1" s="14" t="s">
        <v>36</v>
      </c>
      <c r="D1" s="14" t="s">
        <v>37</v>
      </c>
      <c r="E1" s="14" t="s">
        <v>38</v>
      </c>
      <c r="F1" s="16" t="s">
        <v>39</v>
      </c>
      <c r="G1" s="16" t="s">
        <v>40</v>
      </c>
    </row>
    <row r="2" customFormat="false" ht="15" hidden="false" customHeight="true" outlineLevel="0" collapsed="false">
      <c r="A2" s="3" t="s">
        <v>14</v>
      </c>
      <c r="B2" s="7" t="n">
        <v>0.01</v>
      </c>
      <c r="C2" s="7" t="n">
        <v>36.44</v>
      </c>
      <c r="D2" s="7" t="n">
        <v>30.19</v>
      </c>
      <c r="E2" s="15" t="n">
        <f aca="false">D2-C2</f>
        <v>-6.25</v>
      </c>
      <c r="F2" s="17" t="n">
        <v>30.19</v>
      </c>
      <c r="G2" s="18" t="n">
        <f aca="false">F2-D2</f>
        <v>0</v>
      </c>
    </row>
    <row r="3" customFormat="false" ht="15" hidden="false" customHeight="true" outlineLevel="0" collapsed="false">
      <c r="A3" s="3" t="s">
        <v>15</v>
      </c>
      <c r="B3" s="7" t="n">
        <v>0.01</v>
      </c>
      <c r="C3" s="7" t="n">
        <v>59.59</v>
      </c>
      <c r="D3" s="7" t="n">
        <v>75.32</v>
      </c>
      <c r="E3" s="15" t="n">
        <f aca="false">D3-C3</f>
        <v>15.73</v>
      </c>
      <c r="F3" s="17" t="n">
        <v>75.32</v>
      </c>
      <c r="G3" s="18" t="n">
        <f aca="false">F3-D3</f>
        <v>0</v>
      </c>
    </row>
    <row r="4" customFormat="false" ht="15" hidden="false" customHeight="true" outlineLevel="0" collapsed="false">
      <c r="A4" s="3" t="s">
        <v>16</v>
      </c>
      <c r="B4" s="7" t="n">
        <v>0.01</v>
      </c>
      <c r="C4" s="7" t="n">
        <v>111.35</v>
      </c>
      <c r="D4" s="7" t="n">
        <v>111.35</v>
      </c>
      <c r="E4" s="15" t="n">
        <f aca="false">D4-C4</f>
        <v>0</v>
      </c>
      <c r="F4" s="17" t="n">
        <v>111.35</v>
      </c>
      <c r="G4" s="18" t="n">
        <f aca="false">F4-D4</f>
        <v>0</v>
      </c>
    </row>
    <row r="5" customFormat="false" ht="15" hidden="false" customHeight="true" outlineLevel="0" collapsed="false">
      <c r="A5" s="3" t="s">
        <v>17</v>
      </c>
      <c r="B5" s="7" t="n">
        <v>0.01</v>
      </c>
      <c r="C5" s="7" t="n">
        <v>104.83</v>
      </c>
      <c r="D5" s="7" t="n">
        <v>104.83</v>
      </c>
      <c r="E5" s="15" t="n">
        <f aca="false">D5-C5</f>
        <v>0</v>
      </c>
      <c r="F5" s="17" t="n">
        <v>104.83</v>
      </c>
      <c r="G5" s="18" t="n">
        <f aca="false">F5-D5</f>
        <v>0</v>
      </c>
    </row>
    <row r="6" customFormat="false" ht="15" hidden="false" customHeight="true" outlineLevel="0" collapsed="false">
      <c r="A6" s="3" t="s">
        <v>18</v>
      </c>
      <c r="B6" s="7" t="n">
        <v>0.01</v>
      </c>
      <c r="C6" s="7" t="n">
        <v>14.62</v>
      </c>
      <c r="D6" s="7" t="n">
        <v>14.62</v>
      </c>
      <c r="E6" s="15" t="n">
        <f aca="false">D6-C6</f>
        <v>0</v>
      </c>
      <c r="F6" s="17" t="n">
        <v>14.62</v>
      </c>
      <c r="G6" s="18" t="n">
        <f aca="false">F6-D6</f>
        <v>0</v>
      </c>
    </row>
    <row r="7" customFormat="false" ht="15" hidden="false" customHeight="true" outlineLevel="0" collapsed="false">
      <c r="A7" s="3" t="s">
        <v>19</v>
      </c>
      <c r="B7" s="7" t="n">
        <v>0.01</v>
      </c>
      <c r="C7" s="7" t="n">
        <v>247.86</v>
      </c>
      <c r="D7" s="7" t="n">
        <v>247.86</v>
      </c>
      <c r="E7" s="15" t="n">
        <f aca="false">D7-C7</f>
        <v>0</v>
      </c>
      <c r="F7" s="17" t="n">
        <v>247.86</v>
      </c>
      <c r="G7" s="18" t="n">
        <f aca="false">F7-D7</f>
        <v>0</v>
      </c>
    </row>
    <row r="8" customFormat="false" ht="15" hidden="false" customHeight="true" outlineLevel="0" collapsed="false">
      <c r="A8" s="3" t="s">
        <v>20</v>
      </c>
      <c r="B8" s="7" t="n">
        <v>0.01</v>
      </c>
      <c r="C8" s="7" t="n">
        <v>123.45</v>
      </c>
      <c r="D8" s="7" t="n">
        <v>126.57</v>
      </c>
      <c r="E8" s="15" t="n">
        <f aca="false">D8-C8</f>
        <v>3.11999999999999</v>
      </c>
      <c r="F8" s="17" t="n">
        <v>126.57</v>
      </c>
      <c r="G8" s="18" t="n">
        <f aca="false">F8-D8</f>
        <v>0</v>
      </c>
    </row>
    <row r="9" customFormat="false" ht="15" hidden="false" customHeight="true" outlineLevel="0" collapsed="false">
      <c r="A9" s="3" t="s">
        <v>21</v>
      </c>
      <c r="B9" s="7" t="n">
        <v>0.01</v>
      </c>
      <c r="C9" s="7" t="n">
        <v>171.33</v>
      </c>
      <c r="D9" s="7" t="n">
        <v>171.33</v>
      </c>
      <c r="E9" s="15" t="n">
        <f aca="false">D9-C9</f>
        <v>0</v>
      </c>
      <c r="F9" s="17" t="n">
        <v>171.33</v>
      </c>
      <c r="G9" s="18" t="n">
        <f aca="false">F9-D9</f>
        <v>0</v>
      </c>
    </row>
    <row r="10" customFormat="false" ht="15" hidden="false" customHeight="true" outlineLevel="0" collapsed="false">
      <c r="A10" s="3" t="s">
        <v>22</v>
      </c>
      <c r="B10" s="7" t="n">
        <v>0.01</v>
      </c>
      <c r="C10" s="7" t="n">
        <v>366.97</v>
      </c>
      <c r="D10" s="7" t="n">
        <v>366.97</v>
      </c>
      <c r="E10" s="15" t="n">
        <f aca="false">D10-C10</f>
        <v>0</v>
      </c>
      <c r="F10" s="17" t="n">
        <v>366.97</v>
      </c>
      <c r="G10" s="18" t="n">
        <f aca="false">F10-D10</f>
        <v>0</v>
      </c>
    </row>
    <row r="11" customFormat="false" ht="15" hidden="false" customHeight="true" outlineLevel="0" collapsed="false">
      <c r="A11" s="3" t="s">
        <v>23</v>
      </c>
      <c r="B11" s="7" t="n">
        <v>0.01</v>
      </c>
      <c r="C11" s="7" t="n">
        <v>185.64</v>
      </c>
      <c r="D11" s="7" t="n">
        <v>185.64</v>
      </c>
      <c r="E11" s="15" t="n">
        <f aca="false">D11-C11</f>
        <v>0</v>
      </c>
      <c r="F11" s="17" t="n">
        <v>185.64</v>
      </c>
      <c r="G11" s="18" t="n">
        <f aca="false">F11-D11</f>
        <v>0</v>
      </c>
    </row>
    <row r="12" customFormat="false" ht="15" hidden="false" customHeight="true" outlineLevel="0" collapsed="false">
      <c r="A12" s="3"/>
      <c r="B12" s="3"/>
      <c r="C12" s="3"/>
      <c r="D12" s="3"/>
      <c r="E12" s="3"/>
    </row>
    <row r="13" customFormat="false" ht="15" hidden="false" customHeight="true" outlineLevel="0" collapsed="false">
      <c r="A13" s="10" t="s">
        <v>41</v>
      </c>
      <c r="B13" s="3"/>
      <c r="C13" s="3"/>
      <c r="D13" s="3"/>
      <c r="E13" s="3"/>
    </row>
    <row r="14" customFormat="false" ht="15" hidden="false" customHeight="false" outlineLevel="0" collapsed="false">
      <c r="A14" s="19" t="s">
        <v>42</v>
      </c>
    </row>
  </sheetData>
  <conditionalFormatting sqref="E2:E11">
    <cfRule type="expression" priority="2" aboveAverage="0" equalAverage="0" bottom="0" percent="0" rank="0" text="" dxfId="0">
      <formula>ABS(E2)&gt;0.05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</cols>
  <sheetData>
    <row r="1" customFormat="false" ht="15" hidden="false" customHeight="true" outlineLevel="0" collapsed="false">
      <c r="A1" s="2" t="s">
        <v>43</v>
      </c>
    </row>
    <row r="3" customFormat="false" ht="15" hidden="false" customHeight="true" outlineLevel="0" collapsed="false">
      <c r="A3" s="14" t="s">
        <v>1</v>
      </c>
      <c r="B3" s="14" t="s">
        <v>44</v>
      </c>
      <c r="C3" s="14" t="s">
        <v>45</v>
      </c>
      <c r="D3" s="14" t="s">
        <v>46</v>
      </c>
      <c r="E3" s="14" t="s">
        <v>47</v>
      </c>
      <c r="F3" s="14" t="s">
        <v>48</v>
      </c>
      <c r="G3" s="14" t="s">
        <v>49</v>
      </c>
      <c r="H3" s="14" t="s">
        <v>50</v>
      </c>
      <c r="I3" s="14" t="s">
        <v>51</v>
      </c>
    </row>
    <row r="4" customFormat="false" ht="15" hidden="false" customHeight="true" outlineLevel="0" collapsed="false">
      <c r="A4" s="6" t="s">
        <v>14</v>
      </c>
      <c r="B4" s="20" t="n">
        <v>99.44</v>
      </c>
      <c r="C4" s="20" t="n">
        <v>38</v>
      </c>
      <c r="D4" s="20" t="n">
        <v>125.46</v>
      </c>
      <c r="E4" s="20" t="n">
        <v>0.22</v>
      </c>
      <c r="F4" s="9" t="n">
        <f aca="false">B4-'Rerun_2026-09-30'!D4</f>
        <v>0</v>
      </c>
      <c r="G4" s="9" t="n">
        <f aca="false">C4-'Rerun_2026-09-30'!E4</f>
        <v>0</v>
      </c>
      <c r="H4" s="9" t="n">
        <f aca="false">D4-'Rerun_2026-09-30'!F4</f>
        <v>0</v>
      </c>
      <c r="I4" s="9" t="n">
        <f aca="false">E4-'Rerun_2026-09-30'!G4</f>
        <v>0</v>
      </c>
    </row>
    <row r="5" customFormat="false" ht="15" hidden="false" customHeight="true" outlineLevel="0" collapsed="false">
      <c r="A5" s="6" t="s">
        <v>15</v>
      </c>
      <c r="B5" s="20" t="n">
        <v>78.69</v>
      </c>
      <c r="C5" s="20" t="n">
        <v>108.68</v>
      </c>
      <c r="D5" s="20" t="n">
        <v>152.62</v>
      </c>
      <c r="E5" s="20" t="n">
        <v>11.41</v>
      </c>
      <c r="F5" s="9" t="n">
        <f aca="false">B5-'Rerun_2026-09-30'!D5</f>
        <v>0</v>
      </c>
      <c r="G5" s="9" t="n">
        <f aca="false">C5-'Rerun_2026-09-30'!E5</f>
        <v>0</v>
      </c>
      <c r="H5" s="9" t="n">
        <f aca="false">D5-'Rerun_2026-09-30'!F5</f>
        <v>0</v>
      </c>
      <c r="I5" s="9" t="n">
        <f aca="false">E5-'Rerun_2026-09-30'!G5</f>
        <v>0</v>
      </c>
    </row>
    <row r="6" customFormat="false" ht="15" hidden="false" customHeight="true" outlineLevel="0" collapsed="false">
      <c r="A6" s="6" t="s">
        <v>16</v>
      </c>
      <c r="B6" s="20" t="n">
        <v>32.97</v>
      </c>
      <c r="C6" s="20" t="n">
        <v>41.74</v>
      </c>
      <c r="D6" s="20" t="n">
        <v>58.84</v>
      </c>
      <c r="E6" s="20" t="n">
        <v>17.01</v>
      </c>
      <c r="F6" s="9" t="n">
        <f aca="false">B6-'Rerun_2026-09-30'!D6</f>
        <v>0</v>
      </c>
      <c r="G6" s="9" t="n">
        <f aca="false">C6-'Rerun_2026-09-30'!E6</f>
        <v>0</v>
      </c>
      <c r="H6" s="9" t="n">
        <f aca="false">D6-'Rerun_2026-09-30'!F6</f>
        <v>0</v>
      </c>
      <c r="I6" s="9" t="n">
        <f aca="false">E6-'Rerun_2026-09-30'!G6</f>
        <v>0</v>
      </c>
    </row>
    <row r="7" customFormat="false" ht="15" hidden="false" customHeight="true" outlineLevel="0" collapsed="false">
      <c r="A7" s="6" t="s">
        <v>17</v>
      </c>
      <c r="B7" s="20" t="n">
        <v>40.75</v>
      </c>
      <c r="C7" s="20" t="n">
        <v>19.24</v>
      </c>
      <c r="D7" s="20" t="n">
        <v>19.85</v>
      </c>
      <c r="E7" s="20" t="n">
        <v>8.01</v>
      </c>
      <c r="F7" s="9" t="n">
        <f aca="false">B7-'Rerun_2026-09-30'!D7</f>
        <v>0</v>
      </c>
      <c r="G7" s="9" t="n">
        <f aca="false">C7-'Rerun_2026-09-30'!E7</f>
        <v>0</v>
      </c>
      <c r="H7" s="9" t="n">
        <f aca="false">D7-'Rerun_2026-09-30'!F7</f>
        <v>0</v>
      </c>
      <c r="I7" s="9" t="n">
        <f aca="false">E7-'Rerun_2026-09-30'!G7</f>
        <v>0</v>
      </c>
    </row>
    <row r="8" customFormat="false" ht="15" hidden="false" customHeight="true" outlineLevel="0" collapsed="false">
      <c r="A8" s="6" t="s">
        <v>18</v>
      </c>
      <c r="B8" s="20" t="n">
        <v>49.27</v>
      </c>
      <c r="C8" s="20" t="n">
        <v>19.61</v>
      </c>
      <c r="D8" s="20" t="n">
        <v>33.46</v>
      </c>
      <c r="E8" s="20" t="n">
        <v>11.01</v>
      </c>
      <c r="F8" s="9" t="n">
        <f aca="false">B8-'Rerun_2026-09-30'!D8</f>
        <v>0</v>
      </c>
      <c r="G8" s="9" t="n">
        <f aca="false">C8-'Rerun_2026-09-30'!E8</f>
        <v>0</v>
      </c>
      <c r="H8" s="9" t="n">
        <f aca="false">D8-'Rerun_2026-09-30'!F8</f>
        <v>0</v>
      </c>
      <c r="I8" s="9" t="n">
        <f aca="false">E8-'Rerun_2026-09-30'!G8</f>
        <v>0</v>
      </c>
    </row>
    <row r="9" customFormat="false" ht="15" hidden="false" customHeight="true" outlineLevel="0" collapsed="false">
      <c r="A9" s="6" t="s">
        <v>19</v>
      </c>
      <c r="B9" s="20" t="n">
        <v>39.43</v>
      </c>
      <c r="C9" s="20" t="n">
        <v>73.22</v>
      </c>
      <c r="D9" s="20" t="n">
        <v>35.16</v>
      </c>
      <c r="E9" s="20" t="n">
        <v>0.01</v>
      </c>
      <c r="F9" s="9" t="n">
        <f aca="false">B9-'Rerun_2026-09-30'!D9</f>
        <v>0</v>
      </c>
      <c r="G9" s="9" t="n">
        <f aca="false">C9-'Rerun_2026-09-30'!E9</f>
        <v>0</v>
      </c>
      <c r="H9" s="9" t="n">
        <f aca="false">D9-'Rerun_2026-09-30'!F9</f>
        <v>0</v>
      </c>
      <c r="I9" s="9" t="n">
        <f aca="false">E9-'Rerun_2026-09-30'!G9</f>
        <v>0</v>
      </c>
    </row>
    <row r="10" customFormat="false" ht="15" hidden="false" customHeight="true" outlineLevel="0" collapsed="false">
      <c r="A10" s="6" t="s">
        <v>20</v>
      </c>
      <c r="B10" s="20" t="n">
        <v>46.57</v>
      </c>
      <c r="C10" s="20" t="n">
        <v>49.41</v>
      </c>
      <c r="D10" s="20" t="n">
        <v>19.85</v>
      </c>
      <c r="E10" s="20" t="n">
        <v>313.01</v>
      </c>
      <c r="F10" s="9" t="n">
        <f aca="false">B10-'Rerun_2026-09-30'!D10</f>
        <v>0</v>
      </c>
      <c r="G10" s="9" t="n">
        <f aca="false">C10-'Rerun_2026-09-30'!E10</f>
        <v>0</v>
      </c>
      <c r="H10" s="9" t="n">
        <f aca="false">D10-'Rerun_2026-09-30'!F10</f>
        <v>0</v>
      </c>
      <c r="I10" s="9" t="n">
        <f aca="false">E10-'Rerun_2026-09-30'!G10</f>
        <v>0</v>
      </c>
    </row>
    <row r="11" customFormat="false" ht="15" hidden="false" customHeight="true" outlineLevel="0" collapsed="false">
      <c r="A11" s="6" t="s">
        <v>21</v>
      </c>
      <c r="B11" s="20" t="n">
        <v>38.71</v>
      </c>
      <c r="C11" s="20" t="n">
        <v>13.64</v>
      </c>
      <c r="D11" s="20" t="n">
        <v>11.8</v>
      </c>
      <c r="E11" s="20" t="n">
        <v>1.01</v>
      </c>
      <c r="F11" s="9" t="n">
        <f aca="false">B11-'Rerun_2026-09-30'!D11</f>
        <v>0</v>
      </c>
      <c r="G11" s="9" t="n">
        <f aca="false">C11-'Rerun_2026-09-30'!E11</f>
        <v>0</v>
      </c>
      <c r="H11" s="9" t="n">
        <f aca="false">D11-'Rerun_2026-09-30'!F11</f>
        <v>0</v>
      </c>
      <c r="I11" s="9" t="n">
        <f aca="false">E11-'Rerun_2026-09-30'!G11</f>
        <v>0</v>
      </c>
    </row>
    <row r="12" customFormat="false" ht="15" hidden="false" customHeight="true" outlineLevel="0" collapsed="false">
      <c r="A12" s="6" t="s">
        <v>22</v>
      </c>
      <c r="B12" s="20" t="n">
        <v>45.99</v>
      </c>
      <c r="C12" s="20" t="n">
        <v>56.5</v>
      </c>
      <c r="D12" s="20" t="n">
        <v>36.75</v>
      </c>
      <c r="E12" s="20" t="n">
        <v>14.01</v>
      </c>
      <c r="F12" s="9" t="n">
        <f aca="false">B12-'Rerun_2026-09-30'!D12</f>
        <v>0</v>
      </c>
      <c r="G12" s="9" t="n">
        <f aca="false">C12-'Rerun_2026-09-30'!E12</f>
        <v>0</v>
      </c>
      <c r="H12" s="9" t="n">
        <f aca="false">D12-'Rerun_2026-09-30'!F12</f>
        <v>0</v>
      </c>
      <c r="I12" s="9" t="n">
        <f aca="false">E12-'Rerun_2026-09-30'!G12</f>
        <v>0</v>
      </c>
    </row>
    <row r="13" customFormat="false" ht="15" hidden="false" customHeight="true" outlineLevel="0" collapsed="false">
      <c r="A13" s="6" t="s">
        <v>23</v>
      </c>
      <c r="B13" s="20" t="n">
        <v>45.75</v>
      </c>
      <c r="C13" s="20" t="n">
        <v>17.61</v>
      </c>
      <c r="D13" s="20" t="n">
        <v>62.98</v>
      </c>
      <c r="E13" s="20" t="n">
        <v>9.01</v>
      </c>
      <c r="F13" s="9" t="n">
        <f aca="false">B13-'Rerun_2026-09-30'!D13</f>
        <v>0</v>
      </c>
      <c r="G13" s="9" t="n">
        <f aca="false">C13-'Rerun_2026-09-30'!E13</f>
        <v>0</v>
      </c>
      <c r="H13" s="9" t="n">
        <f aca="false">D13-'Rerun_2026-09-30'!F13</f>
        <v>0</v>
      </c>
      <c r="I13" s="9" t="n">
        <f aca="false">E13-'Rerun_2026-09-30'!G13</f>
        <v>0</v>
      </c>
    </row>
    <row r="15" customFormat="false" ht="15" hidden="false" customHeight="true" outlineLevel="0" collapsed="false">
      <c r="A15" s="13" t="s">
        <v>52</v>
      </c>
      <c r="B15" s="1" t="n">
        <f aca="false">SUMPRODUCT((ABS(F4:I13)&gt;0.001)*1)</f>
        <v>0</v>
      </c>
    </row>
  </sheetData>
  <conditionalFormatting sqref="F4:I13">
    <cfRule type="expression" priority="2" aboveAverage="0" equalAverage="0" bottom="0" percent="0" rank="0" text="" dxfId="0">
      <formula>ABS(F4)&gt;0.001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2026-09-30T08:33:49Z</dcterms:created>
  <dc:creator>openpyxl</dc:creator>
  <dc:description/>
  <dc:language>en-US</dc:language>
  <cp:lastModifiedBy/>
  <dcterms:modified xsi:type="dcterms:W3CDTF">2026-09-30T08:38:03Z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